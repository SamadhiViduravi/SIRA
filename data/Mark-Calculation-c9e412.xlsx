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wyTPauWYQAvEudhu97keFFpxQ0PIAo58vVKPcYuABw="/>
    </ext>
  </extLst>
</workbook>
</file>

<file path=xl/sharedStrings.xml><?xml version="1.0" encoding="utf-8"?>
<sst xmlns="http://schemas.openxmlformats.org/spreadsheetml/2006/main" count="56" uniqueCount="29">
  <si>
    <t>Module</t>
  </si>
  <si>
    <t>Level</t>
  </si>
  <si>
    <t>Year</t>
  </si>
  <si>
    <t>Core/Optional</t>
  </si>
  <si>
    <t>Credits</t>
  </si>
  <si>
    <t>Mark</t>
  </si>
  <si>
    <t>Marks x Credits</t>
  </si>
  <si>
    <t>Type your marks in grey boxes</t>
  </si>
  <si>
    <t>SDGP</t>
  </si>
  <si>
    <t>2016/7</t>
  </si>
  <si>
    <t>C</t>
  </si>
  <si>
    <t>If you want to drop one module, remove that entire row</t>
  </si>
  <si>
    <t>OOP</t>
  </si>
  <si>
    <t>CSA</t>
  </si>
  <si>
    <t>DB</t>
  </si>
  <si>
    <t>ALGO</t>
  </si>
  <si>
    <t>O</t>
  </si>
  <si>
    <t>Average of Marks with Credit into account</t>
  </si>
  <si>
    <t>Total:</t>
  </si>
  <si>
    <t>Average:</t>
  </si>
  <si>
    <t>Total Credits x Mark:</t>
  </si>
  <si>
    <t>FYP</t>
  </si>
  <si>
    <t>2018/9</t>
  </si>
  <si>
    <t>RAP</t>
  </si>
  <si>
    <t>MUX</t>
  </si>
  <si>
    <t>SAF</t>
  </si>
  <si>
    <t>MNAD</t>
  </si>
  <si>
    <t>Cannot Drop</t>
  </si>
  <si>
    <t>Final Degree Grade with 1/3 of L5 &amp; 2/3 of L6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</si>
</sst>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rgb="FF000000"/>
      <name val="Calibri"/>
      <scheme val="minor"/>
    </font>
    <font>
      <b/>
      <sz val="16.0"/>
      <color rgb="FF000000"/>
      <name val="Calibri"/>
    </font>
    <font>
      <sz val="12.0"/>
      <color rgb="FF000000"/>
      <name val="Calibri"/>
    </font>
    <font>
      <b/>
      <sz val="12.0"/>
      <color rgb="FFFF0000"/>
      <name val="Arial"/>
    </font>
    <font>
      <sz val="14.0"/>
      <color rgb="FF000000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i/>
      <sz val="14.0"/>
      <color rgb="FF000000"/>
      <name val="Calibri"/>
    </font>
    <font>
      <sz val="12.0"/>
      <color rgb="FF000000"/>
      <name val="Arial"/>
    </font>
    <font>
      <b/>
      <sz val="20.0"/>
      <color rgb="FF000000"/>
      <name val="Calibri"/>
    </font>
    <font/>
    <font>
      <sz val="20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</fills>
  <borders count="21">
    <border/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/>
      <bottom/>
    </border>
    <border>
      <left/>
      <right/>
      <top/>
      <bottom/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right style="thick">
        <color rgb="FF000000"/>
      </right>
      <top style="thick">
        <color rgb="FF000000"/>
      </top>
    </border>
    <border>
      <left/>
      <right style="thick">
        <color rgb="FF000000"/>
      </right>
      <top/>
      <bottom/>
    </border>
    <border>
      <right style="thick">
        <color rgb="FF000000"/>
      </right>
      <bottom style="thick">
        <color rgb="FF000000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  <border>
      <left/>
      <right/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0" fillId="0" fontId="3" numFmtId="0" xfId="0" applyFont="1"/>
    <xf borderId="4" fillId="2" fontId="4" numFmtId="0" xfId="0" applyBorder="1" applyFill="1" applyFont="1"/>
    <xf borderId="5" fillId="2" fontId="4" numFmtId="0" xfId="0" applyBorder="1" applyFont="1"/>
    <xf borderId="5" fillId="3" fontId="4" numFmtId="0" xfId="0" applyAlignment="1" applyBorder="1" applyFill="1" applyFont="1">
      <alignment readingOrder="0"/>
    </xf>
    <xf borderId="6" fillId="0" fontId="4" numFmtId="0" xfId="0" applyBorder="1" applyFont="1"/>
    <xf borderId="7" fillId="0" fontId="4" numFmtId="0" xfId="0" applyBorder="1" applyFont="1"/>
    <xf borderId="0" fillId="0" fontId="4" numFmtId="0" xfId="0" applyFont="1"/>
    <xf borderId="0" fillId="0" fontId="2" numFmtId="0" xfId="0" applyFont="1"/>
    <xf borderId="7" fillId="0" fontId="4" numFmtId="0" xfId="0" applyAlignment="1" applyBorder="1" applyFont="1">
      <alignment horizontal="left" readingOrder="0" shrinkToFit="0" vertical="center" wrapText="1"/>
    </xf>
    <xf borderId="6" fillId="0" fontId="2" numFmtId="0" xfId="0" applyBorder="1" applyFont="1"/>
    <xf borderId="7" fillId="0" fontId="4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right" shrinkToFit="0" wrapText="1"/>
    </xf>
    <xf borderId="8" fillId="0" fontId="5" numFmtId="0" xfId="0" applyAlignment="1" applyBorder="1" applyFont="1">
      <alignment horizontal="right"/>
    </xf>
    <xf borderId="9" fillId="0" fontId="4" numFmtId="0" xfId="0" applyBorder="1" applyFont="1"/>
    <xf borderId="9" fillId="0" fontId="4" numFmtId="0" xfId="0" applyAlignment="1" applyBorder="1" applyFont="1">
      <alignment horizontal="right"/>
    </xf>
    <xf borderId="9" fillId="0" fontId="5" numFmtId="0" xfId="0" applyAlignment="1" applyBorder="1" applyFont="1">
      <alignment horizontal="right"/>
    </xf>
    <xf borderId="10" fillId="4" fontId="4" numFmtId="0" xfId="0" applyBorder="1" applyFill="1" applyFont="1"/>
    <xf borderId="11" fillId="4" fontId="4" numFmtId="2" xfId="0" applyBorder="1" applyFont="1" applyNumberFormat="1"/>
    <xf borderId="0" fillId="0" fontId="6" numFmtId="0" xfId="0" applyAlignment="1" applyFont="1">
      <alignment shrinkToFit="0" wrapText="1"/>
    </xf>
    <xf borderId="12" fillId="2" fontId="4" numFmtId="0" xfId="0" applyBorder="1" applyFont="1"/>
    <xf borderId="13" fillId="2" fontId="4" numFmtId="0" xfId="0" applyBorder="1" applyFont="1"/>
    <xf borderId="13" fillId="3" fontId="4" numFmtId="0" xfId="0" applyBorder="1" applyFont="1"/>
    <xf borderId="14" fillId="0" fontId="4" numFmtId="0" xfId="0" applyBorder="1" applyFont="1"/>
    <xf borderId="0" fillId="0" fontId="6" numFmtId="0" xfId="0" applyFont="1"/>
    <xf borderId="5" fillId="3" fontId="4" numFmtId="0" xfId="0" applyBorder="1" applyFont="1"/>
    <xf borderId="7" fillId="0" fontId="5" numFmtId="0" xfId="0" applyAlignment="1" applyBorder="1" applyFont="1">
      <alignment horizontal="right"/>
    </xf>
    <xf borderId="0" fillId="0" fontId="5" numFmtId="0" xfId="0" applyAlignment="1" applyFont="1">
      <alignment horizontal="right"/>
    </xf>
    <xf borderId="5" fillId="4" fontId="4" numFmtId="0" xfId="0" applyBorder="1" applyFont="1"/>
    <xf borderId="0" fillId="0" fontId="4" numFmtId="0" xfId="0" applyAlignment="1" applyFont="1">
      <alignment horizontal="right"/>
    </xf>
    <xf borderId="15" fillId="4" fontId="4" numFmtId="0" xfId="0" applyBorder="1" applyFont="1"/>
    <xf borderId="5" fillId="2" fontId="2" numFmtId="0" xfId="0" applyBorder="1" applyFont="1"/>
    <xf borderId="8" fillId="0" fontId="7" numFmtId="0" xfId="0" applyAlignment="1" applyBorder="1" applyFont="1">
      <alignment shrinkToFit="0" wrapText="1"/>
    </xf>
    <xf borderId="9" fillId="0" fontId="8" numFmtId="0" xfId="0" applyBorder="1" applyFont="1"/>
    <xf borderId="16" fillId="0" fontId="8" numFmtId="0" xfId="0" applyBorder="1" applyFont="1"/>
    <xf borderId="0" fillId="0" fontId="9" numFmtId="0" xfId="0" applyAlignment="1" applyFont="1">
      <alignment horizontal="right" shrinkToFit="0" wrapText="1"/>
    </xf>
    <xf borderId="17" fillId="0" fontId="9" numFmtId="0" xfId="0" applyAlignment="1" applyBorder="1" applyFont="1">
      <alignment horizontal="right" shrinkToFit="0" wrapText="1"/>
    </xf>
    <xf borderId="18" fillId="0" fontId="10" numFmtId="0" xfId="0" applyBorder="1" applyFont="1"/>
    <xf borderId="19" fillId="4" fontId="11" numFmtId="2" xfId="0" applyBorder="1" applyFont="1" applyNumberFormat="1"/>
    <xf borderId="18" fillId="0" fontId="9" numFmtId="0" xfId="0" applyAlignment="1" applyBorder="1" applyFont="1">
      <alignment shrinkToFit="0" wrapText="1"/>
    </xf>
    <xf borderId="20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11"/>
    <col customWidth="1" min="2" max="2" width="7.0"/>
    <col customWidth="1" min="3" max="3" width="7.78"/>
    <col customWidth="1" min="4" max="4" width="15.67"/>
    <col customWidth="1" min="5" max="5" width="8.11"/>
    <col customWidth="1" min="6" max="6" width="9.78"/>
    <col customWidth="1" min="7" max="7" width="9.22"/>
    <col customWidth="1" min="8" max="8" width="20.89"/>
    <col customWidth="1" min="9" max="9" width="18.44"/>
    <col customWidth="1" min="10" max="10" width="13.44"/>
    <col customWidth="1" min="11" max="11" width="19.0"/>
    <col customWidth="1" min="12" max="32" width="11.22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/>
      <c r="I1" s="2" t="s">
        <v>6</v>
      </c>
      <c r="J1" s="3"/>
      <c r="L1" s="4" t="s">
        <v>7</v>
      </c>
    </row>
    <row r="2">
      <c r="A2" s="5" t="s">
        <v>8</v>
      </c>
      <c r="B2" s="6">
        <v>5.0</v>
      </c>
      <c r="C2" s="6" t="s">
        <v>9</v>
      </c>
      <c r="D2" s="6" t="s">
        <v>10</v>
      </c>
      <c r="E2" s="6">
        <v>40.0</v>
      </c>
      <c r="F2" s="6"/>
      <c r="G2" s="7">
        <v>59.0</v>
      </c>
      <c r="H2" s="6"/>
      <c r="I2" s="6">
        <f t="shared" ref="I2:I6" si="1">E2*G2</f>
        <v>2360</v>
      </c>
      <c r="J2" s="8"/>
      <c r="L2" s="4" t="s">
        <v>11</v>
      </c>
    </row>
    <row r="3">
      <c r="A3" s="9" t="s">
        <v>12</v>
      </c>
      <c r="B3" s="10">
        <v>5.0</v>
      </c>
      <c r="C3" s="10" t="s">
        <v>9</v>
      </c>
      <c r="D3" s="10" t="s">
        <v>10</v>
      </c>
      <c r="E3" s="10">
        <v>20.0</v>
      </c>
      <c r="F3" s="10"/>
      <c r="G3" s="7">
        <v>75.0</v>
      </c>
      <c r="H3" s="10"/>
      <c r="I3" s="10">
        <f t="shared" si="1"/>
        <v>1500</v>
      </c>
      <c r="J3" s="8"/>
    </row>
    <row r="4">
      <c r="A4" s="9" t="s">
        <v>13</v>
      </c>
      <c r="B4" s="10">
        <v>5.0</v>
      </c>
      <c r="C4" s="10" t="s">
        <v>9</v>
      </c>
      <c r="D4" s="10" t="s">
        <v>10</v>
      </c>
      <c r="E4" s="10">
        <v>20.0</v>
      </c>
      <c r="F4" s="10"/>
      <c r="G4" s="7">
        <v>91.6</v>
      </c>
      <c r="H4" s="10"/>
      <c r="I4" s="10">
        <f t="shared" si="1"/>
        <v>1832</v>
      </c>
      <c r="J4" s="8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</row>
    <row r="5">
      <c r="A5" s="12" t="s">
        <v>14</v>
      </c>
      <c r="B5" s="10">
        <v>5.0</v>
      </c>
      <c r="C5" s="10" t="s">
        <v>9</v>
      </c>
      <c r="D5" s="10" t="s">
        <v>10</v>
      </c>
      <c r="E5" s="10">
        <v>20.0</v>
      </c>
      <c r="F5" s="10"/>
      <c r="G5" s="7">
        <v>83.2</v>
      </c>
      <c r="H5" s="10"/>
      <c r="I5" s="10">
        <f t="shared" si="1"/>
        <v>1664</v>
      </c>
      <c r="J5" s="1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>
      <c r="A6" s="12" t="s">
        <v>15</v>
      </c>
      <c r="B6" s="10">
        <v>5.0</v>
      </c>
      <c r="C6" s="10" t="s">
        <v>9</v>
      </c>
      <c r="D6" s="10" t="s">
        <v>16</v>
      </c>
      <c r="E6" s="10">
        <v>20.0</v>
      </c>
      <c r="F6" s="10"/>
      <c r="G6" s="7">
        <v>71.5</v>
      </c>
      <c r="H6" s="10"/>
      <c r="I6" s="10">
        <f t="shared" si="1"/>
        <v>1430</v>
      </c>
      <c r="J6" s="13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>
      <c r="A7" s="14"/>
      <c r="B7" s="10"/>
      <c r="C7" s="10"/>
      <c r="D7" s="10"/>
      <c r="E7" s="10"/>
      <c r="F7" s="10"/>
      <c r="G7" s="10"/>
      <c r="H7" s="10"/>
      <c r="I7" s="10"/>
      <c r="J7" s="15" t="s">
        <v>17</v>
      </c>
    </row>
    <row r="8">
      <c r="A8" s="16" t="s">
        <v>18</v>
      </c>
      <c r="B8" s="17"/>
      <c r="C8" s="17"/>
      <c r="D8" s="17"/>
      <c r="E8" s="18">
        <f>SUM(E2:E6)</f>
        <v>120</v>
      </c>
      <c r="F8" s="19" t="s">
        <v>19</v>
      </c>
      <c r="G8" s="20">
        <f>AVERAGE(G2:G6)</f>
        <v>76.06</v>
      </c>
      <c r="H8" s="18" t="s">
        <v>20</v>
      </c>
      <c r="I8" s="17">
        <f>SUM(I2:I6)</f>
        <v>8786</v>
      </c>
      <c r="J8" s="21">
        <f>I8/E8</f>
        <v>73.21666667</v>
      </c>
      <c r="K8" s="22" t="str">
        <f>IF(J8&gt;=60,"Eligible for First Class","Not Eligible for First Class")</f>
        <v>Eligible for First Class</v>
      </c>
    </row>
    <row r="10">
      <c r="A10" s="1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/>
      <c r="G10" s="2" t="s">
        <v>5</v>
      </c>
      <c r="H10" s="2"/>
      <c r="I10" s="2" t="s">
        <v>6</v>
      </c>
      <c r="J10" s="3"/>
    </row>
    <row r="11">
      <c r="A11" s="23" t="s">
        <v>21</v>
      </c>
      <c r="B11" s="24">
        <v>6.0</v>
      </c>
      <c r="C11" s="24" t="s">
        <v>22</v>
      </c>
      <c r="D11" s="24" t="s">
        <v>10</v>
      </c>
      <c r="E11" s="24">
        <v>40.0</v>
      </c>
      <c r="F11" s="24"/>
      <c r="G11" s="25">
        <v>0.0</v>
      </c>
      <c r="H11" s="24"/>
      <c r="I11" s="24">
        <f t="shared" ref="I11:I15" si="2">E11*G11</f>
        <v>0</v>
      </c>
      <c r="J11" s="26"/>
      <c r="K11" s="27"/>
    </row>
    <row r="12">
      <c r="A12" s="9" t="s">
        <v>23</v>
      </c>
      <c r="B12" s="10">
        <v>6.0</v>
      </c>
      <c r="C12" s="10" t="s">
        <v>22</v>
      </c>
      <c r="D12" s="10" t="s">
        <v>10</v>
      </c>
      <c r="E12" s="10">
        <v>20.0</v>
      </c>
      <c r="F12" s="10"/>
      <c r="G12" s="28">
        <v>74.25</v>
      </c>
      <c r="H12" s="10"/>
      <c r="I12" s="10">
        <f t="shared" si="2"/>
        <v>1485</v>
      </c>
      <c r="J12" s="8"/>
      <c r="K12" s="27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>
      <c r="A13" s="9" t="s">
        <v>24</v>
      </c>
      <c r="B13" s="10">
        <v>6.0</v>
      </c>
      <c r="C13" s="10" t="s">
        <v>22</v>
      </c>
      <c r="D13" s="10" t="s">
        <v>10</v>
      </c>
      <c r="E13" s="10">
        <v>20.0</v>
      </c>
      <c r="F13" s="10"/>
      <c r="G13" s="28">
        <v>76.0</v>
      </c>
      <c r="H13" s="10"/>
      <c r="I13" s="10">
        <f t="shared" si="2"/>
        <v>1520</v>
      </c>
      <c r="J13" s="8"/>
      <c r="K13" s="27"/>
    </row>
    <row r="14">
      <c r="A14" s="9" t="s">
        <v>25</v>
      </c>
      <c r="B14" s="10">
        <v>6.0</v>
      </c>
      <c r="C14" s="10" t="s">
        <v>22</v>
      </c>
      <c r="D14" s="10" t="s">
        <v>10</v>
      </c>
      <c r="E14" s="10">
        <v>20.0</v>
      </c>
      <c r="F14" s="10"/>
      <c r="G14" s="28">
        <v>0.0</v>
      </c>
      <c r="H14" s="10"/>
      <c r="I14" s="10">
        <f t="shared" si="2"/>
        <v>0</v>
      </c>
      <c r="J14" s="8"/>
      <c r="K14" s="27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>
      <c r="A15" s="9" t="s">
        <v>26</v>
      </c>
      <c r="B15" s="10">
        <v>6.0</v>
      </c>
      <c r="C15" s="10" t="s">
        <v>22</v>
      </c>
      <c r="D15" s="10" t="s">
        <v>16</v>
      </c>
      <c r="E15" s="10">
        <v>20.0</v>
      </c>
      <c r="F15" s="10"/>
      <c r="G15" s="28">
        <v>0.0</v>
      </c>
      <c r="H15" s="10"/>
      <c r="I15" s="10">
        <f t="shared" si="2"/>
        <v>0</v>
      </c>
      <c r="J15" s="8"/>
      <c r="K15" s="27"/>
    </row>
    <row r="16">
      <c r="A16" s="14"/>
      <c r="B16" s="10"/>
      <c r="C16" s="10"/>
      <c r="D16" s="10"/>
      <c r="E16" s="10"/>
      <c r="F16" s="10"/>
      <c r="G16" s="10"/>
      <c r="H16" s="10"/>
      <c r="I16" s="10"/>
      <c r="J16" s="15" t="s">
        <v>17</v>
      </c>
      <c r="K16" s="27"/>
    </row>
    <row r="17">
      <c r="A17" s="29" t="s">
        <v>18</v>
      </c>
      <c r="B17" s="10"/>
      <c r="C17" s="10"/>
      <c r="D17" s="10"/>
      <c r="E17" s="10">
        <f>SUM(E11:E15)</f>
        <v>120</v>
      </c>
      <c r="F17" s="30" t="s">
        <v>19</v>
      </c>
      <c r="G17" s="31">
        <f>AVERAGE(G11:G15)</f>
        <v>30.05</v>
      </c>
      <c r="H17" s="32" t="s">
        <v>20</v>
      </c>
      <c r="I17" s="10">
        <f>SUM(I11:I15)</f>
        <v>3005</v>
      </c>
      <c r="J17" s="33">
        <f>I17/E17</f>
        <v>25.04166667</v>
      </c>
      <c r="K17" s="22" t="str">
        <f>IF(J17&gt;=70,"Good Average, You Worked in Final Year","Go Jump off 5th Floor")</f>
        <v>Go Jump off 5th Floor</v>
      </c>
    </row>
    <row r="18">
      <c r="A18" s="9"/>
      <c r="B18" s="10"/>
      <c r="C18" s="10"/>
      <c r="D18" s="10"/>
      <c r="E18" s="10"/>
      <c r="F18" s="10"/>
      <c r="G18" s="10"/>
      <c r="H18" s="10"/>
      <c r="I18" s="10"/>
      <c r="J18" s="8"/>
      <c r="K18" s="27"/>
    </row>
    <row r="19" ht="15.75" customHeight="1">
      <c r="A19" s="9"/>
      <c r="B19" s="10"/>
      <c r="C19" s="34"/>
      <c r="D19" s="11" t="s">
        <v>27</v>
      </c>
      <c r="E19" s="10"/>
      <c r="F19" s="10"/>
      <c r="G19" s="10"/>
      <c r="H19" s="10"/>
      <c r="I19" s="10"/>
      <c r="J19" s="8"/>
      <c r="K19" s="27"/>
    </row>
    <row r="20" ht="15.75" customHeight="1">
      <c r="A20" s="35"/>
      <c r="B20" s="17"/>
      <c r="C20" s="17"/>
      <c r="D20" s="17"/>
      <c r="E20" s="17"/>
      <c r="F20" s="17"/>
      <c r="G20" s="17"/>
      <c r="H20" s="17"/>
      <c r="I20" s="36"/>
      <c r="J20" s="37"/>
    </row>
    <row r="21" ht="15.75" customHeight="1"/>
    <row r="22" ht="15.75" customHeight="1">
      <c r="E22" s="38"/>
      <c r="F22" s="39" t="s">
        <v>28</v>
      </c>
      <c r="G22" s="40"/>
      <c r="H22" s="40"/>
      <c r="I22" s="40"/>
      <c r="J22" s="41">
        <f>(J17*(2/3))+(J8*(1/3))</f>
        <v>41.1</v>
      </c>
      <c r="K22" s="42" t="str">
        <f>IF(J22&gt;=70,"First Class Degree Honours","Noob Charter, Look For Job in CMC")</f>
        <v>Noob Charter, Look For Job in CMC</v>
      </c>
      <c r="L22" s="40"/>
      <c r="M22" s="40"/>
      <c r="N22" s="4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2:I22"/>
    <mergeCell ref="K22:N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2019-03-22T10:55:00Z</dcterms:created>
  <dc:creator>Talal Mahushukeen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